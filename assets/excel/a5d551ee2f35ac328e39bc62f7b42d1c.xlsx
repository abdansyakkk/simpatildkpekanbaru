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"/>
    </mc:Choice>
  </mc:AlternateContent>
  <xr:revisionPtr revIDLastSave="0" documentId="13_ncr:1_{D9BACF13-22CA-44D0-99C1-D3215AB9D29D}" xr6:coauthVersionLast="47" xr6:coauthVersionMax="47" xr10:uidLastSave="{00000000-0000-0000-0000-000000000000}"/>
  <bookViews>
    <workbookView xWindow="-108" yWindow="-108" windowWidth="23256" windowHeight="14616" xr2:uid="{5A0A89C1-A5B8-46FA-9B21-66DC08F8539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<sst xmlns="http://schemas.openxmlformats.org/spreadsheetml/2006/main" count="206" uniqueCount="66">
  <si>
    <t>Nama Peserta</t>
  </si>
  <si>
    <t>Jenis Kelamin (L/P)</t>
  </si>
  <si>
    <t>NIP</t>
  </si>
  <si>
    <t>Pangkat/Gol</t>
  </si>
  <si>
    <t>Jabatan</t>
  </si>
  <si>
    <t>Unit Kerja</t>
  </si>
  <si>
    <t>MUHAMMAD FAUZI FAYYAD. S.Kom.</t>
  </si>
  <si>
    <t>ABDAN SYAKURO, S.T.</t>
  </si>
  <si>
    <t>RISMA NURDIANA, S.Sos</t>
  </si>
  <si>
    <t>‌MUHAMMAD ALAN JUHRI, M.A</t>
  </si>
  <si>
    <t>‌AZHARI ANDI, M.Ag</t>
  </si>
  <si>
    <t>‌Dr. MUHAMMAD ADNAN AZZAKI, S.E., M.E</t>
  </si>
  <si>
    <t>DR. ‌RIKO ANDRIAN, M.PD</t>
  </si>
  <si>
    <t>Dr. HENDRI KRONIKO, M.Sy</t>
  </si>
  <si>
    <t>‌TARMIZI, M.A.</t>
  </si>
  <si>
    <t>‌AGUNG KURNIAWAN, S.Kom.</t>
  </si>
  <si>
    <t>‌WAWAN HERWANSYAH, S.T.</t>
  </si>
  <si>
    <t>‌AHMAD MAKMUN KHODORI, S.Ag, M.A</t>
  </si>
  <si>
    <t>‌ARIEF BUDIMAN S.H.,M.H</t>
  </si>
  <si>
    <r>
      <t xml:space="preserve">‌MUHAMMAD FAJRI, </t>
    </r>
    <r>
      <rPr>
        <u/>
        <sz val="9"/>
        <color rgb="FF1155CC"/>
        <rFont val="Calibri"/>
        <family val="2"/>
      </rPr>
      <t>M.Ag</t>
    </r>
  </si>
  <si>
    <t>Dr. ‌MUHAMMAD YASID, S.H., M.H</t>
  </si>
  <si>
    <t>‌ADHI MUNAJAR, M.Pd.</t>
  </si>
  <si>
    <t>‌RASMON, S.E., M.Ak</t>
  </si>
  <si>
    <t>‌SUHERI, S.Ag., M.A</t>
  </si>
  <si>
    <t>‌ROLLI GAUTAMA, M.Pd</t>
  </si>
  <si>
    <t>‌Dr. NYAK MUSTAKIM, M.Pd.I</t>
  </si>
  <si>
    <t>D‌r. IRPAN APANDI BATUBARA, S.Pd., M.S.</t>
  </si>
  <si>
    <t>‌Dr. RAJA SAKTI PUTRA HARAHAP, S.Pd., M.E.I</t>
  </si>
  <si>
    <t>‌Dr. KIKI HARDIANSYAH SIREGAR, S.Pd., M.Pd.</t>
  </si>
  <si>
    <t>‌NASRUL FATAH, M.Ag</t>
  </si>
  <si>
    <t>‌Dr. MASRIZAL, SE., M.SEI</t>
  </si>
  <si>
    <t>‌NABHILLA VIONISYAFIRA, S.E.</t>
  </si>
  <si>
    <t>Bayu Sugara, S.T.</t>
  </si>
  <si>
    <t>Boni Iqbal</t>
  </si>
  <si>
    <t>DONI ABADI NABABAN, S.Pd</t>
  </si>
  <si>
    <t>Ezza wilona caulica</t>
  </si>
  <si>
    <t>FAUZAN OCTHORY LUKFI, S.T</t>
  </si>
  <si>
    <t>Harisah 'Aini Auliya, S.IP., M.Si</t>
  </si>
  <si>
    <t>Narendra Benny, S.Kom</t>
  </si>
  <si>
    <t>Norman, S.T.</t>
  </si>
  <si>
    <t>SHINTA ELVITA BELLA</t>
  </si>
  <si>
    <t>Taufiq Qurahman, S.Kom</t>
  </si>
  <si>
    <t>Yulia Safitri, S.Ak</t>
  </si>
  <si>
    <t>Christina Angela Girsang, S.Pd</t>
  </si>
  <si>
    <t>JUNI ARDHI, S.Pd.B.</t>
  </si>
  <si>
    <t>Perempuan</t>
  </si>
  <si>
    <t>Pranata Komputer Ahli Pertama</t>
  </si>
  <si>
    <t>Pranata Hubungan Masyarakat Ahli Pertama</t>
  </si>
  <si>
    <t>Asisten Ahli</t>
  </si>
  <si>
    <t>Lektor</t>
  </si>
  <si>
    <t>Loka Pendidikan Dan Pelatihan Keagamaan Pekanbaru</t>
  </si>
  <si>
    <t>Universitas Islam Negeri Sultan Syarif Kasim Riau</t>
  </si>
  <si>
    <t>Auditor Ahli Pertama</t>
  </si>
  <si>
    <t>Penyuluh Agama Ahli Pertama - Penyuluh Agama Kristen</t>
  </si>
  <si>
    <t>Pranata Komputer</t>
  </si>
  <si>
    <t>Pengawas Jaminan Produk Halal</t>
  </si>
  <si>
    <t>Pengelola Pengadaan Barang Jasa Ahli Pertama</t>
  </si>
  <si>
    <t>Penyuluh Agama Ahli Pertama - Penyuluh Agama Katolik</t>
  </si>
  <si>
    <t>Penyuluh Agama Ahli Pertama - Penyuluh Agama Buddha</t>
  </si>
  <si>
    <t>Yola Zulyenni, S.H.</t>
  </si>
  <si>
    <t>Analis Hukum Ahli Pertama</t>
  </si>
  <si>
    <t>Kanwil Kementerian Agama Provinsi Riau</t>
  </si>
  <si>
    <t>III/A</t>
  </si>
  <si>
    <t>III/b</t>
  </si>
  <si>
    <t>III/c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</si>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</sst>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8"/>
      <name val="Source Sans Pro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u/>
      <sz val="9"/>
      <color rgb="FF1155CC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/>
    <xf numFmtId="0" fontId="2" fillId="0" borderId="0"/>
    <xf numFmtId="164" fontId="2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0" fontId="3" fillId="0" borderId="0"/>
    <xf numFmtId="0" fontId="7" fillId="0" borderId="0"/>
    <xf numFmtId="0" fontId="8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9" fillId="0" borderId="0" xfId="0" applyFont="1"/>
  </cellXfs>
  <cellStyles count="16">
    <cellStyle name="Comma [0] 2" xfId="3" xr:uid="{7E3E2386-EFCC-49EF-BF5C-5118810D270E}"/>
    <cellStyle name="Comma [0] 2 2" xfId="6" xr:uid="{05747E46-55AF-448E-A46E-DAC94160AB46}"/>
    <cellStyle name="Comma [0] 2 2 2" xfId="11" xr:uid="{E937FB67-B56F-4F23-B613-C3136DE923D8}"/>
    <cellStyle name="Comma [0] 3" xfId="8" xr:uid="{0D44D40F-C11C-4F79-9A36-7A27FFE042AB}"/>
    <cellStyle name="Comma 2" xfId="12" xr:uid="{288A8A8E-2DAE-4046-899B-91F8F22E7873}"/>
    <cellStyle name="Hyperlink 2" xfId="15" xr:uid="{2E48A55D-AA03-46B7-95C2-86F09B31FB0F}"/>
    <cellStyle name="Normal" xfId="0" builtinId="0"/>
    <cellStyle name="Normal 2" xfId="2" xr:uid="{01629F62-BFE1-4733-A474-30D4A09C0851}"/>
    <cellStyle name="Normal 2 2" xfId="5" xr:uid="{0AD4B78E-CAC7-4554-A442-60CBEA0B69CB}"/>
    <cellStyle name="Normal 2 2 2" xfId="10" xr:uid="{B525D3A8-5BD2-4E2E-B4B0-BAA2B8CD17CC}"/>
    <cellStyle name="Normal 3" xfId="4" xr:uid="{9B60B6E0-C475-4D4E-BE1D-1820B8AC17A0}"/>
    <cellStyle name="Normal 4" xfId="7" xr:uid="{D496A592-FA01-41EA-9D84-A9BEAA7A91DA}"/>
    <cellStyle name="Normal 5" xfId="9" xr:uid="{E6D1F94A-65FA-4E78-ABC0-ABFBFE6E8A88}"/>
    <cellStyle name="Normal 6" xfId="13" xr:uid="{E37F9DF2-D238-43EF-9AE6-FB4761F6B888}"/>
    <cellStyle name="Normal 7" xfId="14" xr:uid="{5307B110-1030-49B2-88DE-110C2B74EB35}"/>
    <cellStyle name="Normal 8" xfId="1" xr:uid="{791836D0-AD18-447F-BB20-DB3D61FC8C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TSAR2025LDKPEKANBARUF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"/>
      <sheetName val="II"/>
      <sheetName val="III"/>
      <sheetName val="IV"/>
      <sheetName val="V"/>
      <sheetName val="VI"/>
      <sheetName val="VII"/>
      <sheetName val="VIII"/>
      <sheetName val="IX"/>
      <sheetName val="X"/>
      <sheetName val="XI"/>
      <sheetName val="Jadwal (2)"/>
    </sheetNames>
    <sheetDataSet>
      <sheetData sheetId="0">
        <row r="2">
          <cell r="B2" t="str">
            <v>MOOC LAN</v>
          </cell>
        </row>
        <row r="10">
          <cell r="C10" t="str">
            <v>199912192025051003/1471041912990022</v>
          </cell>
        </row>
        <row r="11">
          <cell r="C11" t="str">
            <v>200102202025051001/1471082002010003</v>
          </cell>
        </row>
        <row r="12">
          <cell r="C12" t="str">
            <v>200009202025052008/1403026009004756</v>
          </cell>
        </row>
        <row r="13">
          <cell r="C13" t="str">
            <v>199801252025051002/ 1471082501980022</v>
          </cell>
        </row>
        <row r="14">
          <cell r="C14" t="str">
            <v>199509182025051004/ 1605051809950005</v>
          </cell>
        </row>
        <row r="15">
          <cell r="C15" t="str">
            <v>199609272025051003/ 1471092709960001</v>
          </cell>
        </row>
        <row r="16">
          <cell r="C16" t="str">
            <v>199306172025051002/ 1471081706930081</v>
          </cell>
        </row>
        <row r="17">
          <cell r="C17" t="str">
            <v>198907122025051001/ 1409091207890001</v>
          </cell>
        </row>
        <row r="18">
          <cell r="C18" t="str">
            <v>199703172025051001/ 1302171703970001</v>
          </cell>
        </row>
        <row r="19">
          <cell r="C19" t="str">
            <v>199706252025051005/ 1403092506971974</v>
          </cell>
        </row>
        <row r="20">
          <cell r="C20" t="str">
            <v>200104152025051004/ 1403091504010004</v>
          </cell>
        </row>
        <row r="21">
          <cell r="C21" t="str">
            <v>199804302025051005/ 1809021904980005</v>
          </cell>
        </row>
        <row r="22">
          <cell r="C22" t="str">
            <v>199804222025051007/ 1471112204980001</v>
          </cell>
        </row>
        <row r="23">
          <cell r="C23" t="str">
            <v>199511142025051004/ 1304101411950001</v>
          </cell>
        </row>
        <row r="24">
          <cell r="C24" t="str">
            <v>198509112025051001/ 1271171109850003</v>
          </cell>
        </row>
        <row r="25">
          <cell r="C25" t="str">
            <v>199112292025051001/ 3204252912910007</v>
          </cell>
        </row>
        <row r="26">
          <cell r="C26" t="str">
            <v>199208312025051003/ 1471093108920021</v>
          </cell>
        </row>
        <row r="27">
          <cell r="C27" t="str">
            <v>199509192025051002/ 1804051909950007</v>
          </cell>
        </row>
        <row r="28">
          <cell r="C28" t="str">
            <v>199311112025051002/ 1307041111930001</v>
          </cell>
        </row>
        <row r="29">
          <cell r="C29" t="str">
            <v>198607272025051001/ 1171022707860011</v>
          </cell>
        </row>
        <row r="30">
          <cell r="C30" t="str">
            <v>198605122025051001/ 120304120586004</v>
          </cell>
        </row>
        <row r="31">
          <cell r="C31" t="str">
            <v>198802142025051001/ 1207261402880008</v>
          </cell>
        </row>
        <row r="32">
          <cell r="C32" t="str">
            <v>198610172025051001/ 127110171086007</v>
          </cell>
        </row>
        <row r="33">
          <cell r="C33" t="str">
            <v>199112242025051002/ 1402142412910004</v>
          </cell>
        </row>
        <row r="34">
          <cell r="C34" t="str">
            <v>199506132025051002/ 1471081306950002</v>
          </cell>
        </row>
        <row r="35">
          <cell r="C35" t="str">
            <v>199811192025052005/ 1471105911980021</v>
          </cell>
        </row>
        <row r="36">
          <cell r="C36" t="str">
            <v>199605262025051004/ 1471102605960025</v>
          </cell>
        </row>
        <row r="37">
          <cell r="C37" t="str">
            <v>199402152025051002/ 1408041502940007</v>
          </cell>
        </row>
        <row r="38">
          <cell r="C38" t="str">
            <v>199312292025051004/ 1271042912950003</v>
          </cell>
        </row>
        <row r="39">
          <cell r="C39" t="str">
            <v>199003072025052003/ 1471024703900001</v>
          </cell>
        </row>
        <row r="40">
          <cell r="C40" t="str">
            <v>199810062025051006/ 1471070610980001</v>
          </cell>
        </row>
        <row r="41">
          <cell r="C41" t="str">
            <v>199507082025052005/ 1471014807950001</v>
          </cell>
        </row>
        <row r="42">
          <cell r="C42" t="str">
            <v>199503032025051007/ 1471090303950085</v>
          </cell>
        </row>
        <row r="43">
          <cell r="C43" t="str">
            <v>199912112025051010/ 1403031112983984</v>
          </cell>
        </row>
        <row r="44">
          <cell r="C44" t="str">
            <v>199805232025052009/ 1408046305980004</v>
          </cell>
        </row>
        <row r="45">
          <cell r="C45" t="str">
            <v>199708102025051007/ 1471121008970002</v>
          </cell>
        </row>
        <row r="46">
          <cell r="C46" t="str">
            <v>200207032025052006/ 1471074307020062</v>
          </cell>
        </row>
        <row r="47">
          <cell r="C47" t="str">
            <v>200111052025052004/ 1271074511010004</v>
          </cell>
        </row>
        <row r="48">
          <cell r="C48" t="str">
            <v>199106252025051002/ 3671082506910001</v>
          </cell>
        </row>
        <row r="49">
          <cell r="C49" t="str">
            <v>199810092025052007/ 1371074910980003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F41"/>
  <sheetViews>
    <sheetView tabSelected="1" topLeftCell="A13" workbookViewId="0">
      <selection activeCell="A36" sqref="A36:XFD36"/>
    </sheetView>
  </sheetViews>
  <sheetFormatPr defaultRowHeight="14.4" x14ac:dyDescent="0.3"/>
  <cols>
    <col min="1" max="1" width="39.21875" customWidth="1"/>
    <col min="2" max="2" width="22.77734375" customWidth="1"/>
    <col min="3" max="3" width="23.44140625" customWidth="1"/>
    <col min="4" max="4" width="19.109375" customWidth="1"/>
    <col min="5" max="5" width="37.77734375" customWidth="1"/>
    <col min="6" max="6" width="2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65</v>
      </c>
      <c r="C2" t="str">
        <f>LEFT([1]I!$C10,FIND("/",[1]I!$C10)-1)</f>
        <v>199912192025051003</v>
      </c>
      <c r="D2" t="s">
        <v>62</v>
      </c>
      <c r="E2" t="s">
        <v>46</v>
      </c>
      <c r="F2" t="s">
        <v>50</v>
      </c>
    </row>
    <row r="3" spans="1:6" x14ac:dyDescent="0.3">
      <c r="A3" t="s">
        <v>7</v>
      </c>
      <c r="B3" t="s">
        <v>65</v>
      </c>
      <c r="C3" t="str">
        <f>LEFT([1]I!$C11,FIND("/",[1]I!$C11)-1)</f>
        <v>200102202025051001</v>
      </c>
      <c r="D3" t="s">
        <v>62</v>
      </c>
      <c r="E3" t="s">
        <v>46</v>
      </c>
      <c r="F3" t="s">
        <v>50</v>
      </c>
    </row>
    <row r="4" spans="1:6" x14ac:dyDescent="0.3">
      <c r="A4" t="s">
        <v>8</v>
      </c>
      <c r="B4" t="s">
        <v>45</v>
      </c>
      <c r="C4" t="str">
        <f>LEFT([1]I!$C12,FIND("/",[1]I!$C12)-1)</f>
        <v>200009202025052008</v>
      </c>
      <c r="D4" t="s">
        <v>62</v>
      </c>
      <c r="E4" t="s">
        <v>47</v>
      </c>
      <c r="F4" t="s">
        <v>50</v>
      </c>
    </row>
    <row r="5" spans="1:6" x14ac:dyDescent="0.3">
      <c r="A5" t="s">
        <v>9</v>
      </c>
      <c r="B5" t="s">
        <v>65</v>
      </c>
      <c r="C5" t="str">
        <f>LEFT([1]I!$C13,FIND("/",[1]I!$C13)-1)</f>
        <v>199801252025051002</v>
      </c>
      <c r="D5" t="s">
        <v>63</v>
      </c>
      <c r="E5" t="s">
        <v>48</v>
      </c>
      <c r="F5" t="s">
        <v>51</v>
      </c>
    </row>
    <row r="6" spans="1:6" x14ac:dyDescent="0.3">
      <c r="A6" t="s">
        <v>10</v>
      </c>
      <c r="B6" t="s">
        <v>65</v>
      </c>
      <c r="C6" t="str">
        <f>LEFT([1]I!$C14,FIND("/",[1]I!$C14)-1)</f>
        <v>199509182025051004</v>
      </c>
      <c r="D6" t="s">
        <v>63</v>
      </c>
      <c r="E6" t="s">
        <v>48</v>
      </c>
      <c r="F6" t="s">
        <v>51</v>
      </c>
    </row>
    <row r="7" spans="1:6" x14ac:dyDescent="0.3">
      <c r="A7" t="s">
        <v>11</v>
      </c>
      <c r="B7" t="s">
        <v>65</v>
      </c>
      <c r="C7" t="str">
        <f>LEFT([1]I!$C15,FIND("/",[1]I!$C15)-1)</f>
        <v>199609272025051003</v>
      </c>
      <c r="D7" t="s">
        <v>64</v>
      </c>
      <c r="E7" t="s">
        <v>49</v>
      </c>
      <c r="F7" t="s">
        <v>51</v>
      </c>
    </row>
    <row r="8" spans="1:6" x14ac:dyDescent="0.3">
      <c r="A8" t="s">
        <v>12</v>
      </c>
      <c r="B8" t="s">
        <v>65</v>
      </c>
      <c r="C8" t="str">
        <f>LEFT([1]I!$C16,FIND("/",[1]I!$C16)-1)</f>
        <v>199306172025051002</v>
      </c>
      <c r="D8" t="s">
        <v>64</v>
      </c>
      <c r="E8" t="s">
        <v>49</v>
      </c>
      <c r="F8" t="s">
        <v>51</v>
      </c>
    </row>
    <row r="9" spans="1:6" x14ac:dyDescent="0.3">
      <c r="A9" t="s">
        <v>13</v>
      </c>
      <c r="B9" t="s">
        <v>65</v>
      </c>
      <c r="C9" t="str">
        <f>LEFT([1]I!$C17,FIND("/",[1]I!$C17)-1)</f>
        <v>198907122025051001</v>
      </c>
      <c r="D9" t="s">
        <v>64</v>
      </c>
      <c r="E9" t="s">
        <v>49</v>
      </c>
      <c r="F9" t="s">
        <v>51</v>
      </c>
    </row>
    <row r="10" spans="1:6" x14ac:dyDescent="0.3">
      <c r="A10" t="s">
        <v>14</v>
      </c>
      <c r="B10" t="s">
        <v>65</v>
      </c>
      <c r="C10" t="str">
        <f>LEFT([1]I!$C18,FIND("/",[1]I!$C18)-1)</f>
        <v>199703172025051001</v>
      </c>
      <c r="D10" t="s">
        <v>63</v>
      </c>
      <c r="E10" t="s">
        <v>48</v>
      </c>
      <c r="F10" t="s">
        <v>51</v>
      </c>
    </row>
    <row r="11" spans="1:6" x14ac:dyDescent="0.3">
      <c r="A11" t="s">
        <v>15</v>
      </c>
      <c r="B11" t="s">
        <v>65</v>
      </c>
      <c r="C11" t="str">
        <f>LEFT([1]I!$C19,FIND("/",[1]I!$C19)-1)</f>
        <v>199706252025051005</v>
      </c>
      <c r="D11" t="s">
        <v>62</v>
      </c>
      <c r="E11" t="s">
        <v>46</v>
      </c>
      <c r="F11" t="s">
        <v>51</v>
      </c>
    </row>
    <row r="12" spans="1:6" x14ac:dyDescent="0.3">
      <c r="A12" t="s">
        <v>16</v>
      </c>
      <c r="B12" t="s">
        <v>65</v>
      </c>
      <c r="C12" t="str">
        <f>LEFT([1]I!$C20,FIND("/",[1]I!$C20)-1)</f>
        <v>200104152025051004</v>
      </c>
      <c r="D12" t="s">
        <v>62</v>
      </c>
      <c r="E12" t="s">
        <v>46</v>
      </c>
      <c r="F12" t="s">
        <v>51</v>
      </c>
    </row>
    <row r="13" spans="1:6" x14ac:dyDescent="0.3">
      <c r="A13" t="s">
        <v>17</v>
      </c>
      <c r="B13" t="s">
        <v>65</v>
      </c>
      <c r="C13" t="str">
        <f>LEFT([1]I!$C21,FIND("/",[1]I!$C21)-1)</f>
        <v>199804302025051005</v>
      </c>
      <c r="D13" t="s">
        <v>63</v>
      </c>
      <c r="E13" t="s">
        <v>48</v>
      </c>
      <c r="F13" t="s">
        <v>51</v>
      </c>
    </row>
    <row r="14" spans="1:6" x14ac:dyDescent="0.3">
      <c r="A14" t="s">
        <v>18</v>
      </c>
      <c r="B14" t="s">
        <v>65</v>
      </c>
      <c r="C14" t="str">
        <f>LEFT([1]I!$C22,FIND("/",[1]I!$C22)-1)</f>
        <v>199804222025051007</v>
      </c>
      <c r="D14" t="s">
        <v>63</v>
      </c>
      <c r="E14" t="s">
        <v>48</v>
      </c>
      <c r="F14" t="s">
        <v>51</v>
      </c>
    </row>
    <row r="15" spans="1:6" x14ac:dyDescent="0.3">
      <c r="A15" t="s">
        <v>19</v>
      </c>
      <c r="B15" t="s">
        <v>65</v>
      </c>
      <c r="C15" t="str">
        <f>LEFT([1]I!$C23,FIND("/",[1]I!$C23)-1)</f>
        <v>199511142025051004</v>
      </c>
      <c r="D15" t="s">
        <v>63</v>
      </c>
      <c r="E15" t="s">
        <v>48</v>
      </c>
      <c r="F15" t="s">
        <v>51</v>
      </c>
    </row>
    <row r="16" spans="1:6" x14ac:dyDescent="0.3">
      <c r="A16" t="s">
        <v>20</v>
      </c>
      <c r="B16" t="s">
        <v>65</v>
      </c>
      <c r="C16" t="str">
        <f>LEFT([1]I!$C24,FIND("/",[1]I!$C24)-1)</f>
        <v>198509112025051001</v>
      </c>
      <c r="D16" t="s">
        <v>64</v>
      </c>
      <c r="E16" t="s">
        <v>49</v>
      </c>
      <c r="F16" t="s">
        <v>51</v>
      </c>
    </row>
    <row r="17" spans="1:6" x14ac:dyDescent="0.3">
      <c r="A17" t="s">
        <v>21</v>
      </c>
      <c r="B17" t="s">
        <v>65</v>
      </c>
      <c r="C17" t="str">
        <f>LEFT([1]I!$C25,FIND("/",[1]I!$C25)-1)</f>
        <v>199112292025051001</v>
      </c>
      <c r="D17" t="s">
        <v>63</v>
      </c>
      <c r="E17" t="s">
        <v>48</v>
      </c>
      <c r="F17" t="s">
        <v>51</v>
      </c>
    </row>
    <row r="18" spans="1:6" x14ac:dyDescent="0.3">
      <c r="A18" t="s">
        <v>22</v>
      </c>
      <c r="B18" t="s">
        <v>65</v>
      </c>
      <c r="C18" t="str">
        <f>LEFT([1]I!$C26,FIND("/",[1]I!$C26)-1)</f>
        <v>199208312025051003</v>
      </c>
      <c r="D18" t="s">
        <v>63</v>
      </c>
      <c r="E18" t="s">
        <v>48</v>
      </c>
      <c r="F18" t="s">
        <v>51</v>
      </c>
    </row>
    <row r="19" spans="1:6" x14ac:dyDescent="0.3">
      <c r="A19" t="s">
        <v>23</v>
      </c>
      <c r="B19" t="s">
        <v>65</v>
      </c>
      <c r="C19" t="str">
        <f>LEFT([1]I!$C27,FIND("/",[1]I!$C27)-1)</f>
        <v>199509192025051002</v>
      </c>
      <c r="D19" t="s">
        <v>63</v>
      </c>
      <c r="E19" t="s">
        <v>48</v>
      </c>
      <c r="F19" t="s">
        <v>51</v>
      </c>
    </row>
    <row r="20" spans="1:6" x14ac:dyDescent="0.3">
      <c r="A20" t="s">
        <v>24</v>
      </c>
      <c r="B20" t="s">
        <v>65</v>
      </c>
      <c r="C20" t="str">
        <f>LEFT([1]I!$C28,FIND("/",[1]I!$C28)-1)</f>
        <v>199311112025051002</v>
      </c>
      <c r="D20" t="s">
        <v>63</v>
      </c>
      <c r="E20" t="s">
        <v>48</v>
      </c>
      <c r="F20" t="s">
        <v>51</v>
      </c>
    </row>
    <row r="21" spans="1:6" x14ac:dyDescent="0.3">
      <c r="A21" t="s">
        <v>25</v>
      </c>
      <c r="B21" t="s">
        <v>65</v>
      </c>
      <c r="C21" t="str">
        <f>LEFT([1]I!$C29,FIND("/",[1]I!$C29)-1)</f>
        <v>198607272025051001</v>
      </c>
      <c r="D21" t="s">
        <v>64</v>
      </c>
      <c r="E21" t="s">
        <v>49</v>
      </c>
      <c r="F21" t="s">
        <v>51</v>
      </c>
    </row>
    <row r="22" spans="1:6" x14ac:dyDescent="0.3">
      <c r="A22" t="s">
        <v>26</v>
      </c>
      <c r="B22" t="s">
        <v>65</v>
      </c>
      <c r="C22" t="str">
        <f>LEFT([1]I!$C30,FIND("/",[1]I!$C30)-1)</f>
        <v>198605122025051001</v>
      </c>
      <c r="D22" t="s">
        <v>64</v>
      </c>
      <c r="E22" t="s">
        <v>49</v>
      </c>
      <c r="F22" t="s">
        <v>51</v>
      </c>
    </row>
    <row r="23" spans="1:6" x14ac:dyDescent="0.3">
      <c r="A23" t="s">
        <v>27</v>
      </c>
      <c r="B23" t="s">
        <v>65</v>
      </c>
      <c r="C23" t="str">
        <f>LEFT([1]I!$C31,FIND("/",[1]I!$C31)-1)</f>
        <v>198802142025051001</v>
      </c>
      <c r="D23" t="s">
        <v>64</v>
      </c>
      <c r="E23" t="s">
        <v>49</v>
      </c>
      <c r="F23" t="s">
        <v>51</v>
      </c>
    </row>
    <row r="24" spans="1:6" x14ac:dyDescent="0.3">
      <c r="A24" t="s">
        <v>28</v>
      </c>
      <c r="B24" t="s">
        <v>65</v>
      </c>
      <c r="C24" t="str">
        <f>LEFT([1]I!$C32,FIND("/",[1]I!$C32)-1)</f>
        <v>198610172025051001</v>
      </c>
      <c r="D24" t="s">
        <v>64</v>
      </c>
      <c r="E24" t="s">
        <v>49</v>
      </c>
      <c r="F24" t="s">
        <v>51</v>
      </c>
    </row>
    <row r="25" spans="1:6" x14ac:dyDescent="0.3">
      <c r="A25" t="s">
        <v>29</v>
      </c>
      <c r="B25" t="s">
        <v>65</v>
      </c>
      <c r="C25" t="str">
        <f>LEFT([1]I!$C33,FIND("/",[1]I!$C33)-1)</f>
        <v>199112242025051002</v>
      </c>
      <c r="D25" t="s">
        <v>63</v>
      </c>
      <c r="E25" t="s">
        <v>48</v>
      </c>
      <c r="F25" t="s">
        <v>51</v>
      </c>
    </row>
    <row r="26" spans="1:6" x14ac:dyDescent="0.3">
      <c r="A26" t="s">
        <v>30</v>
      </c>
      <c r="B26" t="s">
        <v>65</v>
      </c>
      <c r="C26" t="str">
        <f>LEFT([1]I!$C34,FIND("/",[1]I!$C34)-1)</f>
        <v>199506132025051002</v>
      </c>
      <c r="D26" t="s">
        <v>64</v>
      </c>
      <c r="E26" t="s">
        <v>49</v>
      </c>
      <c r="F26" t="s">
        <v>51</v>
      </c>
    </row>
    <row r="27" spans="1:6" x14ac:dyDescent="0.3">
      <c r="A27" t="s">
        <v>31</v>
      </c>
      <c r="B27" t="s">
        <v>45</v>
      </c>
      <c r="C27" t="str">
        <f>LEFT([1]I!$C35,FIND("/",[1]I!$C35)-1)</f>
        <v>199811192025052005</v>
      </c>
      <c r="D27" t="s">
        <v>62</v>
      </c>
      <c r="E27" t="s">
        <v>52</v>
      </c>
      <c r="F27" t="s">
        <v>51</v>
      </c>
    </row>
    <row r="28" spans="1:6" x14ac:dyDescent="0.3">
      <c r="A28" t="s">
        <v>32</v>
      </c>
      <c r="B28" t="s">
        <v>65</v>
      </c>
      <c r="C28" t="str">
        <f>LEFT([1]I!$C36,FIND("/",[1]I!$C36)-1)</f>
        <v>199605262025051004</v>
      </c>
      <c r="D28" t="s">
        <v>62</v>
      </c>
      <c r="E28" t="s">
        <v>46</v>
      </c>
      <c r="F28" t="s">
        <v>61</v>
      </c>
    </row>
    <row r="29" spans="1:6" x14ac:dyDescent="0.3">
      <c r="A29" t="s">
        <v>33</v>
      </c>
      <c r="B29" t="s">
        <v>65</v>
      </c>
      <c r="C29" t="str">
        <f>LEFT([1]I!$C37,FIND("/",[1]I!$C37)-1)</f>
        <v>199402152025051002</v>
      </c>
      <c r="D29" t="s">
        <v>62</v>
      </c>
      <c r="E29" t="s">
        <v>46</v>
      </c>
      <c r="F29" t="s">
        <v>61</v>
      </c>
    </row>
    <row r="30" spans="1:6" x14ac:dyDescent="0.3">
      <c r="A30" t="s">
        <v>34</v>
      </c>
      <c r="B30" t="s">
        <v>65</v>
      </c>
      <c r="C30" t="str">
        <f>LEFT([1]I!$C38,FIND("/",[1]I!$C38)-1)</f>
        <v>199312292025051004</v>
      </c>
      <c r="D30" t="s">
        <v>62</v>
      </c>
      <c r="E30" t="s">
        <v>53</v>
      </c>
      <c r="F30" t="s">
        <v>61</v>
      </c>
    </row>
    <row r="31" spans="1:6" x14ac:dyDescent="0.3">
      <c r="A31" t="s">
        <v>35</v>
      </c>
      <c r="B31" t="s">
        <v>45</v>
      </c>
      <c r="C31" t="str">
        <f>LEFT([1]I!$C39,FIND("/",[1]I!$C39)-1)</f>
        <v>199003072025052003</v>
      </c>
      <c r="D31" t="s">
        <v>62</v>
      </c>
      <c r="E31" t="s">
        <v>54</v>
      </c>
      <c r="F31" t="s">
        <v>61</v>
      </c>
    </row>
    <row r="32" spans="1:6" x14ac:dyDescent="0.3">
      <c r="A32" t="s">
        <v>36</v>
      </c>
      <c r="B32" t="s">
        <v>65</v>
      </c>
      <c r="C32" t="str">
        <f>LEFT([1]I!$C40,FIND("/",[1]I!$C40)-1)</f>
        <v>199810062025051006</v>
      </c>
      <c r="D32" t="s">
        <v>62</v>
      </c>
      <c r="E32" t="s">
        <v>46</v>
      </c>
      <c r="F32" t="s">
        <v>61</v>
      </c>
    </row>
    <row r="33" spans="1:6" x14ac:dyDescent="0.3">
      <c r="A33" t="s">
        <v>37</v>
      </c>
      <c r="B33" t="s">
        <v>45</v>
      </c>
      <c r="C33" t="str">
        <f>LEFT([1]I!$C41,FIND("/",[1]I!$C41)-1)</f>
        <v>199507082025052005</v>
      </c>
      <c r="D33" t="s">
        <v>62</v>
      </c>
      <c r="E33" t="s">
        <v>47</v>
      </c>
      <c r="F33" t="s">
        <v>61</v>
      </c>
    </row>
    <row r="34" spans="1:6" x14ac:dyDescent="0.3">
      <c r="A34" t="s">
        <v>38</v>
      </c>
      <c r="B34" t="s">
        <v>65</v>
      </c>
      <c r="C34" t="str">
        <f>LEFT([1]I!$C42,FIND("/",[1]I!$C42)-1)</f>
        <v>199503032025051007</v>
      </c>
      <c r="D34" t="s">
        <v>62</v>
      </c>
      <c r="E34" t="s">
        <v>46</v>
      </c>
      <c r="F34" t="s">
        <v>61</v>
      </c>
    </row>
    <row r="35" spans="1:6" x14ac:dyDescent="0.3">
      <c r="A35" t="s">
        <v>39</v>
      </c>
      <c r="B35" t="s">
        <v>65</v>
      </c>
      <c r="C35" t="str">
        <f>LEFT([1]I!$C43,FIND("/",[1]I!$C43)-1)</f>
        <v>199912112025051010</v>
      </c>
      <c r="D35" t="s">
        <v>62</v>
      </c>
      <c r="E35" t="s">
        <v>46</v>
      </c>
      <c r="F35" t="s">
        <v>61</v>
      </c>
    </row>
    <row r="36" spans="1:6" x14ac:dyDescent="0.3">
      <c r="A36" t="s">
        <v>40</v>
      </c>
      <c r="B36" t="s">
        <v>45</v>
      </c>
      <c r="C36" t="str">
        <f>LEFT([1]I!$C44,FIND("/",[1]I!$C44)-1)</f>
        <v>199805232025052009</v>
      </c>
      <c r="D36" t="s">
        <v>62</v>
      </c>
      <c r="E36" t="s">
        <v>55</v>
      </c>
      <c r="F36" t="s">
        <v>61</v>
      </c>
    </row>
    <row r="37" spans="1:6" x14ac:dyDescent="0.3">
      <c r="A37" t="s">
        <v>41</v>
      </c>
      <c r="B37" t="s">
        <v>65</v>
      </c>
      <c r="C37" t="str">
        <f>LEFT([1]I!$C45,FIND("/",[1]I!$C45)-1)</f>
        <v>199708102025051007</v>
      </c>
      <c r="D37" t="s">
        <v>62</v>
      </c>
      <c r="E37" t="s">
        <v>46</v>
      </c>
      <c r="F37" t="s">
        <v>61</v>
      </c>
    </row>
    <row r="38" spans="1:6" x14ac:dyDescent="0.3">
      <c r="A38" t="s">
        <v>42</v>
      </c>
      <c r="B38" t="s">
        <v>45</v>
      </c>
      <c r="C38" t="str">
        <f>LEFT([1]I!$C46,FIND("/",[1]I!$C46)-1)</f>
        <v>200207032025052006</v>
      </c>
      <c r="D38" t="s">
        <v>62</v>
      </c>
      <c r="E38" t="s">
        <v>56</v>
      </c>
      <c r="F38" t="s">
        <v>61</v>
      </c>
    </row>
    <row r="39" spans="1:6" x14ac:dyDescent="0.3">
      <c r="A39" t="s">
        <v>43</v>
      </c>
      <c r="B39" t="s">
        <v>45</v>
      </c>
      <c r="C39" t="str">
        <f>LEFT([1]I!$C47,FIND("/",[1]I!$C47)-1)</f>
        <v>200111052025052004</v>
      </c>
      <c r="D39" t="s">
        <v>62</v>
      </c>
      <c r="E39" t="s">
        <v>57</v>
      </c>
      <c r="F39" t="s">
        <v>61</v>
      </c>
    </row>
    <row r="40" spans="1:6" x14ac:dyDescent="0.3">
      <c r="A40" t="s">
        <v>44</v>
      </c>
      <c r="B40" t="s">
        <v>65</v>
      </c>
      <c r="C40" t="str">
        <f>LEFT([1]I!$C48,FIND("/",[1]I!$C48)-1)</f>
        <v>199106252025051002</v>
      </c>
      <c r="D40" t="s">
        <v>62</v>
      </c>
      <c r="E40" t="s">
        <v>58</v>
      </c>
      <c r="F40" t="s">
        <v>61</v>
      </c>
    </row>
    <row r="41" spans="1:6" ht="15.6" x14ac:dyDescent="0.3">
      <c r="A41" t="s">
        <v>59</v>
      </c>
      <c r="B41" t="s">
        <v>45</v>
      </c>
      <c r="C41" t="str">
        <f>LEFT([1]I!$C49,FIND("/",[1]I!$C49)-1)</f>
        <v>199810092025052007</v>
      </c>
      <c r="D41" t="s">
        <v>62</v>
      </c>
      <c r="E41" s="2" t="s">
        <v>60</v>
      </c>
      <c r="F41" t="s">
        <v>61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Fauzi</cp:lastModifiedBy>
  <dcterms:created xsi:type="dcterms:W3CDTF">2025-09-10T08:17:42Z</dcterms:created>
  <dcterms:modified xsi:type="dcterms:W3CDTF">2025-09-14T12:32:07Z</dcterms:modified>
</cp:coreProperties>
</file>